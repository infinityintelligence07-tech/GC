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demy Mind\Documents\RECOMPRAS\"/>
    </mc:Choice>
  </mc:AlternateContent>
  <xr:revisionPtr revIDLastSave="0" documentId="13_ncr:1_{D38BEE15-50C4-4ED9-97DB-B403744019A7}" xr6:coauthVersionLast="47" xr6:coauthVersionMax="47" xr10:uidLastSave="{00000000-0000-0000-0000-000000000000}"/>
  <bookViews>
    <workbookView xWindow="-108" yWindow="-108" windowWidth="23256" windowHeight="12456" xr2:uid="{F2FFD75F-90CD-48EB-AB65-4A57CBB20753}"/>
  </bookViews>
  <sheets>
    <sheet name="RECOMP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1" l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48" i="1" l="1"/>
</calcChain>
</file>

<file path=xl/sharedStrings.xml><?xml version="1.0" encoding="utf-8"?>
<sst xmlns="http://schemas.openxmlformats.org/spreadsheetml/2006/main" count="189" uniqueCount="102">
  <si>
    <t>DATA DO DÉBITO</t>
  </si>
  <si>
    <t>DOCUMENTO</t>
  </si>
  <si>
    <t>VALOR DEBITADO</t>
  </si>
  <si>
    <t>VENCIMENTO</t>
  </si>
  <si>
    <t>VALOR ORIGINAL</t>
  </si>
  <si>
    <t>JUROS</t>
  </si>
  <si>
    <t>ALUNO</t>
  </si>
  <si>
    <t>ASSESSOR</t>
  </si>
  <si>
    <t>26</t>
  </si>
  <si>
    <t>YGOR SOUSA DE CAMARGO</t>
  </si>
  <si>
    <t>ELAINE</t>
  </si>
  <si>
    <t>31</t>
  </si>
  <si>
    <t>FALO HOLDINF E</t>
  </si>
  <si>
    <t>LUANA</t>
  </si>
  <si>
    <t>4259</t>
  </si>
  <si>
    <t>JOAO VITOR DOS SANTOS DA</t>
  </si>
  <si>
    <t>BIANCA</t>
  </si>
  <si>
    <t>4311</t>
  </si>
  <si>
    <t>FELIPE DE OLIVEIRA PADILHA</t>
  </si>
  <si>
    <t>4327</t>
  </si>
  <si>
    <t>MATHEUS LORRAM DA LUZ</t>
  </si>
  <si>
    <t>4331</t>
  </si>
  <si>
    <t>ESEQUIEL SILVA RODRIGUES</t>
  </si>
  <si>
    <t>4339</t>
  </si>
  <si>
    <t>MAIARA MARIA DOS SANTOS</t>
  </si>
  <si>
    <t>4343</t>
  </si>
  <si>
    <t>ELISANDRA APARECIDA DE</t>
  </si>
  <si>
    <t>4371</t>
  </si>
  <si>
    <t>DEBORA MARINHO</t>
  </si>
  <si>
    <t>4379</t>
  </si>
  <si>
    <t>DANIEL FIGUEIRO</t>
  </si>
  <si>
    <t>4383</t>
  </si>
  <si>
    <t>CRISTIANE ARAUJO VALIM</t>
  </si>
  <si>
    <t>4391</t>
  </si>
  <si>
    <t>LEANDRO DE LAVOR VICIANA</t>
  </si>
  <si>
    <t>4423</t>
  </si>
  <si>
    <t>ANDRE SILVA HAAS</t>
  </si>
  <si>
    <t>4427</t>
  </si>
  <si>
    <t>ANDRE MATHEUS CORNELIO</t>
  </si>
  <si>
    <t>4433</t>
  </si>
  <si>
    <t>RUI DAVID DA SILVA</t>
  </si>
  <si>
    <t>4437</t>
  </si>
  <si>
    <t>ADRIAN OLIVEIRA TEIXEIRA</t>
  </si>
  <si>
    <t>4453</t>
  </si>
  <si>
    <t>ROBERT DIAS DE JESUS</t>
  </si>
  <si>
    <t>4461</t>
  </si>
  <si>
    <t>RICARDO PEREIRA DA COSTA</t>
  </si>
  <si>
    <t>4465</t>
  </si>
  <si>
    <t>RENAN SCHWINDEN</t>
  </si>
  <si>
    <t>4469</t>
  </si>
  <si>
    <t>JULIO EDUARDO COSTA</t>
  </si>
  <si>
    <t>4481</t>
  </si>
  <si>
    <t>JULIA FACINCANI</t>
  </si>
  <si>
    <t>4501</t>
  </si>
  <si>
    <t>SILVANIA GLOGER MELO</t>
  </si>
  <si>
    <t>4517</t>
  </si>
  <si>
    <t>ROBERTO LUIZ STUTZ FILHO</t>
  </si>
  <si>
    <t>4520</t>
  </si>
  <si>
    <t>IVANILDO DA SILVA LOPES</t>
  </si>
  <si>
    <t>4532</t>
  </si>
  <si>
    <t>MAITE DE AGUIAR COUTINHO</t>
  </si>
  <si>
    <t>4550</t>
  </si>
  <si>
    <t>CAIO HENRIQUE DE FARIAS</t>
  </si>
  <si>
    <t>4577</t>
  </si>
  <si>
    <t>4580</t>
  </si>
  <si>
    <t>4586</t>
  </si>
  <si>
    <t>RENAN DE AGUIAR CUSTÓDIO</t>
  </si>
  <si>
    <t>4598</t>
  </si>
  <si>
    <t>REGIANE DA SILVA DOS</t>
  </si>
  <si>
    <t>4601</t>
  </si>
  <si>
    <t>ANA JULIA REZENDE</t>
  </si>
  <si>
    <t>TOTAL DEBITADO</t>
  </si>
  <si>
    <t>TOTAL JUROS</t>
  </si>
  <si>
    <t>4283</t>
  </si>
  <si>
    <t>NILMARA LIMA REZENDE</t>
  </si>
  <si>
    <t>4415</t>
  </si>
  <si>
    <t>BARBARA MIDORI SASAKI</t>
  </si>
  <si>
    <t>4449</t>
  </si>
  <si>
    <t>4595</t>
  </si>
  <si>
    <t>VANESSA CRISTINA FRANZIN</t>
  </si>
  <si>
    <t>4653</t>
  </si>
  <si>
    <t>GRAZIELLE YONE DA SILVA</t>
  </si>
  <si>
    <t>4680</t>
  </si>
  <si>
    <t>JULIO CESAR MACIEL</t>
  </si>
  <si>
    <t>4485</t>
  </si>
  <si>
    <t>ZAQUEU GOMES DE LIMA</t>
  </si>
  <si>
    <t>60</t>
  </si>
  <si>
    <t>FLAVIA LIMA RIBEIRO</t>
  </si>
  <si>
    <t>LIBERTY</t>
  </si>
  <si>
    <t>4660</t>
  </si>
  <si>
    <t>JOSÉ CARLOS JORGE VITAL</t>
  </si>
  <si>
    <t>4685</t>
  </si>
  <si>
    <t>MARCELO TOSCANI LEAL</t>
  </si>
  <si>
    <t>4411</t>
  </si>
  <si>
    <t>BRENDON CESAR SANTOS DIAS</t>
  </si>
  <si>
    <t>4559</t>
  </si>
  <si>
    <t>ALESSANDRO CORDEIRO DE</t>
  </si>
  <si>
    <t>4623</t>
  </si>
  <si>
    <t>ZELIA LUCIA</t>
  </si>
  <si>
    <t>BANCO</t>
  </si>
  <si>
    <t>RECOMPRA</t>
  </si>
  <si>
    <t>SICOOB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</si>
</sst>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49" fontId="3" fillId="4" borderId="4" xfId="0" applyNumberFormat="1" applyFont="1" applyFill="1" applyBorder="1" applyAlignment="1">
      <alignment horizontal="center"/>
    </xf>
    <xf numFmtId="8" fontId="1" fillId="4" borderId="3" xfId="1" applyNumberFormat="1" applyFont="1" applyFill="1" applyBorder="1"/>
    <xf numFmtId="44" fontId="1" fillId="4" borderId="3" xfId="1" applyFont="1" applyFill="1" applyBorder="1"/>
    <xf numFmtId="8" fontId="0" fillId="4" borderId="3" xfId="1" applyNumberFormat="1" applyFont="1" applyFill="1" applyBorder="1"/>
    <xf numFmtId="0" fontId="4" fillId="4" borderId="3" xfId="0" applyFont="1" applyFill="1" applyBorder="1"/>
    <xf numFmtId="0" fontId="5" fillId="4" borderId="5" xfId="0" applyFont="1" applyFill="1" applyBorder="1"/>
    <xf numFmtId="14" fontId="0" fillId="5" borderId="3" xfId="0" applyNumberForma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8" fontId="1" fillId="5" borderId="3" xfId="1" applyNumberFormat="1" applyFont="1" applyFill="1" applyBorder="1"/>
    <xf numFmtId="44" fontId="1" fillId="5" borderId="3" xfId="1" applyFont="1" applyFill="1" applyBorder="1"/>
    <xf numFmtId="8" fontId="0" fillId="5" borderId="3" xfId="1" applyNumberFormat="1" applyFont="1" applyFill="1" applyBorder="1"/>
    <xf numFmtId="0" fontId="4" fillId="5" borderId="3" xfId="0" applyFont="1" applyFill="1" applyBorder="1"/>
    <xf numFmtId="0" fontId="5" fillId="5" borderId="5" xfId="0" applyFont="1" applyFill="1" applyBorder="1"/>
    <xf numFmtId="14" fontId="0" fillId="0" borderId="3" xfId="0" applyNumberForma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8" fontId="1" fillId="0" borderId="3" xfId="1" applyNumberFormat="1" applyFont="1" applyFill="1" applyBorder="1"/>
    <xf numFmtId="44" fontId="1" fillId="0" borderId="3" xfId="1" applyFont="1" applyFill="1" applyBorder="1"/>
    <xf numFmtId="8" fontId="0" fillId="0" borderId="3" xfId="1" applyNumberFormat="1" applyFont="1" applyFill="1" applyBorder="1"/>
    <xf numFmtId="0" fontId="4" fillId="0" borderId="3" xfId="0" applyFont="1" applyBorder="1"/>
    <xf numFmtId="0" fontId="5" fillId="0" borderId="5" xfId="0" applyFont="1" applyBorder="1"/>
    <xf numFmtId="4" fontId="0" fillId="0" borderId="3" xfId="0" applyNumberFormat="1" applyBorder="1"/>
    <xf numFmtId="49" fontId="3" fillId="3" borderId="6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0" fillId="5" borderId="0" xfId="0" applyFill="1"/>
    <xf numFmtId="0" fontId="0" fillId="4" borderId="0" xfId="0" applyFill="1"/>
    <xf numFmtId="49" fontId="3" fillId="3" borderId="4" xfId="0" applyNumberFormat="1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49" fontId="3" fillId="3" borderId="8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036E-C9D7-470B-8E56-2C68E9CDDFFD}">
  <dimension ref="A1:J48"/>
  <sheetViews>
    <sheetView tabSelected="1" workbookViewId="0">
      <selection activeCell="I3" sqref="I3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2.44140625" customWidth="1"/>
    <col min="4" max="4" width="16.88671875" bestFit="1" customWidth="1"/>
    <col min="5" max="5" width="12.77734375" bestFit="1" customWidth="1"/>
    <col min="6" max="6" width="16.109375" bestFit="1" customWidth="1"/>
    <col min="7" max="7" width="9" bestFit="1" customWidth="1"/>
    <col min="8" max="8" width="29.77734375" bestFit="1" customWidth="1"/>
    <col min="9" max="9" width="10.88671875" bestFit="1" customWidth="1"/>
    <col min="10" max="10" width="7.6640625" bestFit="1" customWidth="1"/>
  </cols>
  <sheetData>
    <row r="1" spans="1:9" x14ac:dyDescent="0.3">
      <c r="A1" s="1" t="s">
        <v>100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3" t="s">
        <v>0</v>
      </c>
      <c r="B3" s="3" t="s">
        <v>1</v>
      </c>
      <c r="C3" s="3" t="s">
        <v>99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1:9" x14ac:dyDescent="0.3">
      <c r="A4" s="4">
        <v>46252</v>
      </c>
      <c r="B4" s="5" t="s">
        <v>8</v>
      </c>
      <c r="C4" s="5" t="s">
        <v>101</v>
      </c>
      <c r="D4" s="6">
        <v>2828.48</v>
      </c>
      <c r="E4" s="4">
        <v>46249</v>
      </c>
      <c r="F4" s="7">
        <v>2770</v>
      </c>
      <c r="G4" s="8">
        <v>58.480000000000018</v>
      </c>
      <c r="H4" s="9" t="s">
        <v>9</v>
      </c>
      <c r="I4" s="10" t="s">
        <v>10</v>
      </c>
    </row>
    <row r="5" spans="1:9" x14ac:dyDescent="0.3">
      <c r="A5" s="4">
        <v>46252</v>
      </c>
      <c r="B5" s="5" t="s">
        <v>11</v>
      </c>
      <c r="C5" s="5" t="s">
        <v>101</v>
      </c>
      <c r="D5" s="6">
        <v>3675.77</v>
      </c>
      <c r="E5" s="4">
        <v>46249</v>
      </c>
      <c r="F5" s="7">
        <v>3600</v>
      </c>
      <c r="G5" s="8">
        <v>75.769999999999982</v>
      </c>
      <c r="H5" s="9" t="s">
        <v>12</v>
      </c>
      <c r="I5" s="10" t="s">
        <v>13</v>
      </c>
    </row>
    <row r="6" spans="1:9" x14ac:dyDescent="0.3">
      <c r="A6" s="11">
        <v>46252</v>
      </c>
      <c r="B6" s="12" t="s">
        <v>14</v>
      </c>
      <c r="C6" s="12" t="s">
        <v>101</v>
      </c>
      <c r="D6" s="13">
        <v>893.38</v>
      </c>
      <c r="E6" s="11">
        <v>46249</v>
      </c>
      <c r="F6" s="14">
        <v>875</v>
      </c>
      <c r="G6" s="15">
        <v>18.379999999999995</v>
      </c>
      <c r="H6" s="16" t="s">
        <v>15</v>
      </c>
      <c r="I6" s="17" t="s">
        <v>16</v>
      </c>
    </row>
    <row r="7" spans="1:9" x14ac:dyDescent="0.3">
      <c r="A7" s="11">
        <v>46252</v>
      </c>
      <c r="B7" s="12" t="s">
        <v>17</v>
      </c>
      <c r="C7" s="12" t="s">
        <v>101</v>
      </c>
      <c r="D7" s="13">
        <v>2246.23</v>
      </c>
      <c r="E7" s="11">
        <v>46249</v>
      </c>
      <c r="F7" s="14">
        <v>2200</v>
      </c>
      <c r="G7" s="15">
        <v>46.230000000000018</v>
      </c>
      <c r="H7" s="16" t="s">
        <v>18</v>
      </c>
      <c r="I7" s="17" t="s">
        <v>10</v>
      </c>
    </row>
    <row r="8" spans="1:9" x14ac:dyDescent="0.3">
      <c r="A8" s="11">
        <v>46252</v>
      </c>
      <c r="B8" s="12" t="s">
        <v>19</v>
      </c>
      <c r="C8" s="12" t="s">
        <v>101</v>
      </c>
      <c r="D8" s="13">
        <v>1866.75</v>
      </c>
      <c r="E8" s="11">
        <v>46249</v>
      </c>
      <c r="F8" s="14">
        <v>1828.33</v>
      </c>
      <c r="G8" s="15">
        <v>38.420000000000073</v>
      </c>
      <c r="H8" s="16" t="s">
        <v>20</v>
      </c>
      <c r="I8" s="17" t="s">
        <v>13</v>
      </c>
    </row>
    <row r="9" spans="1:9" x14ac:dyDescent="0.3">
      <c r="A9" s="11">
        <v>46252</v>
      </c>
      <c r="B9" s="12" t="s">
        <v>21</v>
      </c>
      <c r="C9" s="12" t="s">
        <v>101</v>
      </c>
      <c r="D9" s="13">
        <v>1291.58</v>
      </c>
      <c r="E9" s="11">
        <v>46249</v>
      </c>
      <c r="F9" s="14">
        <v>1265</v>
      </c>
      <c r="G9" s="15">
        <v>26.579999999999927</v>
      </c>
      <c r="H9" s="16" t="s">
        <v>22</v>
      </c>
      <c r="I9" s="17" t="s">
        <v>16</v>
      </c>
    </row>
    <row r="10" spans="1:9" x14ac:dyDescent="0.3">
      <c r="A10" s="11">
        <v>46252</v>
      </c>
      <c r="B10" s="12" t="s">
        <v>23</v>
      </c>
      <c r="C10" s="12" t="s">
        <v>101</v>
      </c>
      <c r="D10" s="13">
        <v>2467.44</v>
      </c>
      <c r="E10" s="11">
        <v>46249</v>
      </c>
      <c r="F10" s="14">
        <v>2416.66</v>
      </c>
      <c r="G10" s="15">
        <v>50.7800000000002</v>
      </c>
      <c r="H10" s="16" t="s">
        <v>24</v>
      </c>
      <c r="I10" s="17" t="s">
        <v>16</v>
      </c>
    </row>
    <row r="11" spans="1:9" x14ac:dyDescent="0.3">
      <c r="A11" s="11">
        <v>46252</v>
      </c>
      <c r="B11" s="12" t="s">
        <v>25</v>
      </c>
      <c r="C11" s="12" t="s">
        <v>101</v>
      </c>
      <c r="D11" s="13">
        <v>890.83</v>
      </c>
      <c r="E11" s="11">
        <v>46249</v>
      </c>
      <c r="F11" s="14">
        <v>872.5</v>
      </c>
      <c r="G11" s="15">
        <v>18.330000000000041</v>
      </c>
      <c r="H11" s="16" t="s">
        <v>26</v>
      </c>
      <c r="I11" s="17" t="s">
        <v>13</v>
      </c>
    </row>
    <row r="12" spans="1:9" x14ac:dyDescent="0.3">
      <c r="A12" s="11">
        <v>46252</v>
      </c>
      <c r="B12" s="12" t="s">
        <v>27</v>
      </c>
      <c r="C12" s="12" t="s">
        <v>101</v>
      </c>
      <c r="D12" s="13">
        <v>1099.6300000000001</v>
      </c>
      <c r="E12" s="11">
        <v>46249</v>
      </c>
      <c r="F12" s="14">
        <v>1077</v>
      </c>
      <c r="G12" s="15">
        <v>22.630000000000109</v>
      </c>
      <c r="H12" s="16" t="s">
        <v>28</v>
      </c>
      <c r="I12" s="17" t="s">
        <v>13</v>
      </c>
    </row>
    <row r="13" spans="1:9" x14ac:dyDescent="0.3">
      <c r="A13" s="11">
        <v>46252</v>
      </c>
      <c r="B13" s="12" t="s">
        <v>29</v>
      </c>
      <c r="C13" s="12" t="s">
        <v>101</v>
      </c>
      <c r="D13" s="13">
        <v>1429.41</v>
      </c>
      <c r="E13" s="11">
        <v>46249</v>
      </c>
      <c r="F13" s="14">
        <v>1400</v>
      </c>
      <c r="G13" s="15">
        <v>29.410000000000082</v>
      </c>
      <c r="H13" s="16" t="s">
        <v>30</v>
      </c>
      <c r="I13" s="17" t="s">
        <v>10</v>
      </c>
    </row>
    <row r="14" spans="1:9" x14ac:dyDescent="0.3">
      <c r="A14" s="11">
        <v>46252</v>
      </c>
      <c r="B14" s="12" t="s">
        <v>31</v>
      </c>
      <c r="C14" s="12" t="s">
        <v>101</v>
      </c>
      <c r="D14" s="13">
        <v>625.88</v>
      </c>
      <c r="E14" s="11">
        <v>46249</v>
      </c>
      <c r="F14" s="14">
        <v>613</v>
      </c>
      <c r="G14" s="15">
        <v>12.879999999999995</v>
      </c>
      <c r="H14" s="16" t="s">
        <v>32</v>
      </c>
      <c r="I14" s="17" t="s">
        <v>16</v>
      </c>
    </row>
    <row r="15" spans="1:9" x14ac:dyDescent="0.3">
      <c r="A15" s="11">
        <v>46252</v>
      </c>
      <c r="B15" s="12" t="s">
        <v>33</v>
      </c>
      <c r="C15" s="12" t="s">
        <v>101</v>
      </c>
      <c r="D15" s="13">
        <v>848.29</v>
      </c>
      <c r="E15" s="11">
        <v>46249</v>
      </c>
      <c r="F15" s="14">
        <v>830.83</v>
      </c>
      <c r="G15" s="15">
        <v>17.459999999999923</v>
      </c>
      <c r="H15" s="16" t="s">
        <v>34</v>
      </c>
      <c r="I15" s="17" t="s">
        <v>13</v>
      </c>
    </row>
    <row r="16" spans="1:9" x14ac:dyDescent="0.3">
      <c r="A16" s="11">
        <v>46252</v>
      </c>
      <c r="B16" s="12" t="s">
        <v>35</v>
      </c>
      <c r="C16" s="12" t="s">
        <v>101</v>
      </c>
      <c r="D16" s="13">
        <v>1781.66</v>
      </c>
      <c r="E16" s="11">
        <v>46249</v>
      </c>
      <c r="F16" s="14">
        <v>1745</v>
      </c>
      <c r="G16" s="15">
        <v>36.660000000000082</v>
      </c>
      <c r="H16" s="16" t="s">
        <v>36</v>
      </c>
      <c r="I16" s="17" t="s">
        <v>10</v>
      </c>
    </row>
    <row r="17" spans="1:9" x14ac:dyDescent="0.3">
      <c r="A17" s="11">
        <v>46252</v>
      </c>
      <c r="B17" s="12" t="s">
        <v>37</v>
      </c>
      <c r="C17" s="12" t="s">
        <v>101</v>
      </c>
      <c r="D17" s="13">
        <v>1831.7</v>
      </c>
      <c r="E17" s="11">
        <v>46249</v>
      </c>
      <c r="F17" s="14">
        <v>1794</v>
      </c>
      <c r="G17" s="15">
        <v>37.700000000000045</v>
      </c>
      <c r="H17" s="16" t="s">
        <v>38</v>
      </c>
      <c r="I17" s="17" t="s">
        <v>10</v>
      </c>
    </row>
    <row r="18" spans="1:9" x14ac:dyDescent="0.3">
      <c r="A18" s="11">
        <v>46252</v>
      </c>
      <c r="B18" s="12" t="s">
        <v>39</v>
      </c>
      <c r="C18" s="12" t="s">
        <v>101</v>
      </c>
      <c r="D18" s="13">
        <v>1191.17</v>
      </c>
      <c r="E18" s="11">
        <v>46249</v>
      </c>
      <c r="F18" s="14">
        <v>1166.6600000000001</v>
      </c>
      <c r="G18" s="15">
        <v>24.509999999999991</v>
      </c>
      <c r="H18" s="16" t="s">
        <v>40</v>
      </c>
      <c r="I18" s="17" t="s">
        <v>16</v>
      </c>
    </row>
    <row r="19" spans="1:9" x14ac:dyDescent="0.3">
      <c r="A19" s="18">
        <v>46252</v>
      </c>
      <c r="B19" s="19" t="s">
        <v>41</v>
      </c>
      <c r="C19" s="19" t="s">
        <v>101</v>
      </c>
      <c r="D19" s="20">
        <v>910.5</v>
      </c>
      <c r="E19" s="18">
        <v>46249</v>
      </c>
      <c r="F19" s="21">
        <v>891.76</v>
      </c>
      <c r="G19" s="22">
        <v>18.740000000000009</v>
      </c>
      <c r="H19" s="23" t="s">
        <v>42</v>
      </c>
      <c r="I19" s="24" t="s">
        <v>13</v>
      </c>
    </row>
    <row r="20" spans="1:9" x14ac:dyDescent="0.3">
      <c r="A20" s="11">
        <v>46252</v>
      </c>
      <c r="B20" s="19" t="s">
        <v>43</v>
      </c>
      <c r="C20" s="19" t="s">
        <v>101</v>
      </c>
      <c r="D20" s="13">
        <v>1933.8</v>
      </c>
      <c r="E20" s="11">
        <v>46249</v>
      </c>
      <c r="F20" s="14">
        <v>1894</v>
      </c>
      <c r="G20" s="15">
        <v>39.799999999999955</v>
      </c>
      <c r="H20" s="16" t="s">
        <v>44</v>
      </c>
      <c r="I20" s="17" t="s">
        <v>16</v>
      </c>
    </row>
    <row r="21" spans="1:9" x14ac:dyDescent="0.3">
      <c r="A21" s="11">
        <v>46252</v>
      </c>
      <c r="B21" s="12" t="s">
        <v>45</v>
      </c>
      <c r="C21" s="12" t="s">
        <v>101</v>
      </c>
      <c r="D21" s="13">
        <v>1786.77</v>
      </c>
      <c r="E21" s="11">
        <v>46249</v>
      </c>
      <c r="F21" s="14">
        <v>1750</v>
      </c>
      <c r="G21" s="15">
        <v>36.769999999999982</v>
      </c>
      <c r="H21" s="16" t="s">
        <v>46</v>
      </c>
      <c r="I21" s="17" t="s">
        <v>10</v>
      </c>
    </row>
    <row r="22" spans="1:9" x14ac:dyDescent="0.3">
      <c r="A22" s="11">
        <v>46252</v>
      </c>
      <c r="B22" s="12" t="s">
        <v>47</v>
      </c>
      <c r="C22" s="12" t="s">
        <v>101</v>
      </c>
      <c r="D22" s="13">
        <v>1480.47</v>
      </c>
      <c r="E22" s="11">
        <v>46249</v>
      </c>
      <c r="F22" s="14">
        <v>1450</v>
      </c>
      <c r="G22" s="15">
        <v>30.470000000000027</v>
      </c>
      <c r="H22" s="16" t="s">
        <v>48</v>
      </c>
      <c r="I22" s="17" t="s">
        <v>16</v>
      </c>
    </row>
    <row r="23" spans="1:9" x14ac:dyDescent="0.3">
      <c r="A23" s="11">
        <v>46252</v>
      </c>
      <c r="B23" s="12" t="s">
        <v>49</v>
      </c>
      <c r="C23" s="12" t="s">
        <v>101</v>
      </c>
      <c r="D23" s="13">
        <v>915.84</v>
      </c>
      <c r="E23" s="11">
        <v>46249</v>
      </c>
      <c r="F23" s="14">
        <v>897</v>
      </c>
      <c r="G23" s="15">
        <v>18.840000000000032</v>
      </c>
      <c r="H23" s="16" t="s">
        <v>50</v>
      </c>
      <c r="I23" s="17" t="s">
        <v>16</v>
      </c>
    </row>
    <row r="24" spans="1:9" x14ac:dyDescent="0.3">
      <c r="A24" s="11">
        <v>46252</v>
      </c>
      <c r="B24" s="12" t="s">
        <v>51</v>
      </c>
      <c r="C24" s="12" t="s">
        <v>101</v>
      </c>
      <c r="D24" s="13">
        <v>1378.37</v>
      </c>
      <c r="E24" s="11">
        <v>46249</v>
      </c>
      <c r="F24" s="14">
        <v>1350</v>
      </c>
      <c r="G24" s="15">
        <v>28.369999999999891</v>
      </c>
      <c r="H24" s="16" t="s">
        <v>52</v>
      </c>
      <c r="I24" s="17" t="s">
        <v>10</v>
      </c>
    </row>
    <row r="25" spans="1:9" x14ac:dyDescent="0.3">
      <c r="A25" s="18">
        <v>46252</v>
      </c>
      <c r="B25" s="19" t="s">
        <v>53</v>
      </c>
      <c r="C25" s="19" t="s">
        <v>101</v>
      </c>
      <c r="D25" s="20">
        <v>890.83</v>
      </c>
      <c r="E25" s="18">
        <v>46249</v>
      </c>
      <c r="F25" s="21">
        <v>872.5</v>
      </c>
      <c r="G25" s="22">
        <v>18.330000000000041</v>
      </c>
      <c r="H25" s="23" t="s">
        <v>54</v>
      </c>
      <c r="I25" s="24" t="s">
        <v>13</v>
      </c>
    </row>
    <row r="26" spans="1:9" x14ac:dyDescent="0.3">
      <c r="A26" s="11">
        <v>46252</v>
      </c>
      <c r="B26" s="12" t="s">
        <v>55</v>
      </c>
      <c r="C26" s="12" t="s">
        <v>101</v>
      </c>
      <c r="D26" s="13">
        <v>915.83</v>
      </c>
      <c r="E26" s="11">
        <v>46249</v>
      </c>
      <c r="F26" s="14">
        <v>897</v>
      </c>
      <c r="G26" s="15">
        <v>18.830000000000041</v>
      </c>
      <c r="H26" s="16" t="s">
        <v>56</v>
      </c>
      <c r="I26" s="17" t="s">
        <v>10</v>
      </c>
    </row>
    <row r="27" spans="1:9" x14ac:dyDescent="0.3">
      <c r="A27" s="11">
        <v>46252</v>
      </c>
      <c r="B27" s="12" t="s">
        <v>57</v>
      </c>
      <c r="C27" s="12" t="s">
        <v>101</v>
      </c>
      <c r="D27" s="13">
        <v>808.27</v>
      </c>
      <c r="E27" s="11">
        <v>46249</v>
      </c>
      <c r="F27" s="14">
        <v>791.66</v>
      </c>
      <c r="G27" s="15">
        <v>16.610000000000014</v>
      </c>
      <c r="H27" s="16" t="s">
        <v>58</v>
      </c>
      <c r="I27" s="17" t="s">
        <v>13</v>
      </c>
    </row>
    <row r="28" spans="1:9" x14ac:dyDescent="0.3">
      <c r="A28" s="11">
        <v>46252</v>
      </c>
      <c r="B28" s="12" t="s">
        <v>59</v>
      </c>
      <c r="C28" s="12" t="s">
        <v>101</v>
      </c>
      <c r="D28" s="13">
        <v>2057.56</v>
      </c>
      <c r="E28" s="11">
        <v>46249</v>
      </c>
      <c r="F28" s="14">
        <v>2015.25</v>
      </c>
      <c r="G28" s="15">
        <v>42.309999999999945</v>
      </c>
      <c r="H28" s="16" t="s">
        <v>60</v>
      </c>
      <c r="I28" s="17" t="s">
        <v>13</v>
      </c>
    </row>
    <row r="29" spans="1:9" x14ac:dyDescent="0.3">
      <c r="A29" s="11">
        <v>46252</v>
      </c>
      <c r="B29" s="12" t="s">
        <v>61</v>
      </c>
      <c r="C29" s="12" t="s">
        <v>101</v>
      </c>
      <c r="D29" s="13">
        <v>593.04</v>
      </c>
      <c r="E29" s="11">
        <v>46249</v>
      </c>
      <c r="F29" s="14">
        <v>580.84</v>
      </c>
      <c r="G29" s="15">
        <v>12.199999999999932</v>
      </c>
      <c r="H29" s="16" t="s">
        <v>62</v>
      </c>
      <c r="I29" s="17" t="s">
        <v>13</v>
      </c>
    </row>
    <row r="30" spans="1:9" x14ac:dyDescent="0.3">
      <c r="A30" s="11">
        <v>46252</v>
      </c>
      <c r="B30" s="12" t="s">
        <v>63</v>
      </c>
      <c r="C30" s="12" t="s">
        <v>101</v>
      </c>
      <c r="D30" s="13">
        <v>915.83</v>
      </c>
      <c r="E30" s="11">
        <v>46249</v>
      </c>
      <c r="F30" s="14">
        <v>897</v>
      </c>
      <c r="G30" s="15">
        <v>18.830000000000041</v>
      </c>
      <c r="H30" s="16" t="s">
        <v>48</v>
      </c>
      <c r="I30" s="17" t="s">
        <v>16</v>
      </c>
    </row>
    <row r="31" spans="1:9" x14ac:dyDescent="0.3">
      <c r="A31" s="11">
        <v>46252</v>
      </c>
      <c r="B31" s="12" t="s">
        <v>64</v>
      </c>
      <c r="C31" s="12" t="s">
        <v>101</v>
      </c>
      <c r="D31" s="13">
        <v>1063.54</v>
      </c>
      <c r="E31" s="11">
        <v>46249</v>
      </c>
      <c r="F31" s="14">
        <v>1041.67</v>
      </c>
      <c r="G31" s="15">
        <v>21.869999999999891</v>
      </c>
      <c r="H31" s="16" t="s">
        <v>50</v>
      </c>
      <c r="I31" s="17" t="s">
        <v>16</v>
      </c>
    </row>
    <row r="32" spans="1:9" x14ac:dyDescent="0.3">
      <c r="A32" s="11">
        <v>46252</v>
      </c>
      <c r="B32" s="12" t="s">
        <v>65</v>
      </c>
      <c r="C32" s="12" t="s">
        <v>101</v>
      </c>
      <c r="D32" s="13">
        <v>1696.54</v>
      </c>
      <c r="E32" s="11">
        <v>46249</v>
      </c>
      <c r="F32" s="14">
        <v>1661.66</v>
      </c>
      <c r="G32" s="15">
        <v>34.879999999999882</v>
      </c>
      <c r="H32" s="16" t="s">
        <v>66</v>
      </c>
      <c r="I32" s="17" t="s">
        <v>10</v>
      </c>
    </row>
    <row r="33" spans="1:10" x14ac:dyDescent="0.3">
      <c r="A33" s="11">
        <v>46252</v>
      </c>
      <c r="B33" s="12" t="s">
        <v>67</v>
      </c>
      <c r="C33" s="12" t="s">
        <v>101</v>
      </c>
      <c r="D33" s="13">
        <v>1017.93</v>
      </c>
      <c r="E33" s="11">
        <v>46249</v>
      </c>
      <c r="F33" s="14">
        <v>997</v>
      </c>
      <c r="G33" s="15">
        <v>20.92999999999995</v>
      </c>
      <c r="H33" s="16" t="s">
        <v>68</v>
      </c>
      <c r="I33" s="17" t="s">
        <v>10</v>
      </c>
    </row>
    <row r="34" spans="1:10" x14ac:dyDescent="0.3">
      <c r="A34" s="11">
        <v>46252</v>
      </c>
      <c r="B34" s="12" t="s">
        <v>69</v>
      </c>
      <c r="C34" s="12" t="s">
        <v>101</v>
      </c>
      <c r="D34" s="13">
        <v>1191.1500000000001</v>
      </c>
      <c r="E34" s="11">
        <v>46249</v>
      </c>
      <c r="F34" s="14">
        <v>1166.6600000000001</v>
      </c>
      <c r="G34" s="15">
        <v>24.490000000000009</v>
      </c>
      <c r="H34" s="16" t="s">
        <v>70</v>
      </c>
      <c r="I34" s="17" t="s">
        <v>10</v>
      </c>
    </row>
    <row r="35" spans="1:10" s="28" customFormat="1" x14ac:dyDescent="0.3">
      <c r="A35" s="11">
        <v>46255</v>
      </c>
      <c r="B35" s="12" t="s">
        <v>73</v>
      </c>
      <c r="C35" s="12" t="s">
        <v>101</v>
      </c>
      <c r="D35" s="13">
        <v>2212.1799999999998</v>
      </c>
      <c r="E35" s="11">
        <v>46254</v>
      </c>
      <c r="F35" s="14">
        <v>2166.66</v>
      </c>
      <c r="G35" s="15">
        <f t="shared" ref="G35:G47" si="0">D35-F35</f>
        <v>45.519999999999982</v>
      </c>
      <c r="H35" s="16" t="s">
        <v>74</v>
      </c>
      <c r="I35" s="17" t="s">
        <v>13</v>
      </c>
    </row>
    <row r="36" spans="1:10" s="28" customFormat="1" x14ac:dyDescent="0.3">
      <c r="A36" s="11">
        <v>46255</v>
      </c>
      <c r="B36" s="12" t="s">
        <v>75</v>
      </c>
      <c r="C36" s="12" t="s">
        <v>101</v>
      </c>
      <c r="D36" s="13">
        <v>2467.44</v>
      </c>
      <c r="E36" s="11">
        <v>46254</v>
      </c>
      <c r="F36" s="14">
        <v>2416.66</v>
      </c>
      <c r="G36" s="15">
        <f t="shared" si="0"/>
        <v>50.7800000000002</v>
      </c>
      <c r="H36" s="16" t="s">
        <v>76</v>
      </c>
      <c r="I36" s="17" t="s">
        <v>10</v>
      </c>
    </row>
    <row r="37" spans="1:10" s="28" customFormat="1" x14ac:dyDescent="0.3">
      <c r="A37" s="11">
        <v>46255</v>
      </c>
      <c r="B37" s="12" t="s">
        <v>77</v>
      </c>
      <c r="C37" s="12" t="s">
        <v>101</v>
      </c>
      <c r="D37" s="13">
        <v>3289.9</v>
      </c>
      <c r="E37" s="11">
        <v>46254</v>
      </c>
      <c r="F37" s="14">
        <v>3222.2</v>
      </c>
      <c r="G37" s="15">
        <f t="shared" si="0"/>
        <v>67.700000000000273</v>
      </c>
      <c r="H37" s="16" t="s">
        <v>44</v>
      </c>
      <c r="I37" s="17" t="s">
        <v>16</v>
      </c>
    </row>
    <row r="38" spans="1:10" s="28" customFormat="1" x14ac:dyDescent="0.3">
      <c r="A38" s="11">
        <v>46255</v>
      </c>
      <c r="B38" s="12" t="s">
        <v>78</v>
      </c>
      <c r="C38" s="12" t="s">
        <v>101</v>
      </c>
      <c r="D38" s="13">
        <v>1099.6099999999999</v>
      </c>
      <c r="E38" s="11">
        <v>46254</v>
      </c>
      <c r="F38" s="14">
        <v>1077</v>
      </c>
      <c r="G38" s="15">
        <f t="shared" si="0"/>
        <v>22.6099999999999</v>
      </c>
      <c r="H38" s="16" t="s">
        <v>79</v>
      </c>
      <c r="I38" s="17" t="s">
        <v>10</v>
      </c>
    </row>
    <row r="39" spans="1:10" s="28" customFormat="1" x14ac:dyDescent="0.3">
      <c r="A39" s="11">
        <v>46255</v>
      </c>
      <c r="B39" s="12" t="s">
        <v>80</v>
      </c>
      <c r="C39" s="12" t="s">
        <v>101</v>
      </c>
      <c r="D39" s="13">
        <v>893.37</v>
      </c>
      <c r="E39" s="11">
        <v>46254</v>
      </c>
      <c r="F39" s="14">
        <v>875</v>
      </c>
      <c r="G39" s="15">
        <f t="shared" si="0"/>
        <v>18.370000000000005</v>
      </c>
      <c r="H39" s="16" t="s">
        <v>81</v>
      </c>
      <c r="I39" s="17" t="s">
        <v>16</v>
      </c>
    </row>
    <row r="40" spans="1:10" s="29" customFormat="1" x14ac:dyDescent="0.3">
      <c r="A40" s="4">
        <v>46255</v>
      </c>
      <c r="B40" s="5" t="s">
        <v>82</v>
      </c>
      <c r="C40" s="5" t="s">
        <v>101</v>
      </c>
      <c r="D40" s="6">
        <v>14804.39</v>
      </c>
      <c r="E40" s="4">
        <v>46254</v>
      </c>
      <c r="F40" s="7">
        <v>14500</v>
      </c>
      <c r="G40" s="8">
        <f t="shared" si="0"/>
        <v>304.38999999999942</v>
      </c>
      <c r="H40" s="9" t="s">
        <v>83</v>
      </c>
      <c r="I40" s="10" t="s">
        <v>16</v>
      </c>
    </row>
    <row r="41" spans="1:10" s="28" customFormat="1" x14ac:dyDescent="0.3">
      <c r="A41" s="11">
        <v>46259</v>
      </c>
      <c r="B41" s="12" t="s">
        <v>84</v>
      </c>
      <c r="C41" s="12" t="s">
        <v>101</v>
      </c>
      <c r="D41" s="13">
        <v>915.84</v>
      </c>
      <c r="E41" s="11">
        <v>46257</v>
      </c>
      <c r="F41" s="14">
        <v>897</v>
      </c>
      <c r="G41" s="15">
        <f t="shared" si="0"/>
        <v>18.840000000000032</v>
      </c>
      <c r="H41" s="16" t="s">
        <v>85</v>
      </c>
      <c r="I41" s="17" t="s">
        <v>10</v>
      </c>
    </row>
    <row r="42" spans="1:10" s="29" customFormat="1" x14ac:dyDescent="0.3">
      <c r="A42" s="4">
        <v>46260</v>
      </c>
      <c r="B42" s="5" t="s">
        <v>86</v>
      </c>
      <c r="C42" s="5" t="s">
        <v>101</v>
      </c>
      <c r="D42" s="6">
        <v>2042.02</v>
      </c>
      <c r="E42" s="4">
        <v>46259</v>
      </c>
      <c r="F42" s="7">
        <v>2000</v>
      </c>
      <c r="G42" s="8">
        <f t="shared" si="0"/>
        <v>42.019999999999982</v>
      </c>
      <c r="H42" s="9" t="s">
        <v>87</v>
      </c>
      <c r="I42" s="10" t="s">
        <v>16</v>
      </c>
      <c r="J42" s="29" t="s">
        <v>88</v>
      </c>
    </row>
    <row r="43" spans="1:10" s="28" customFormat="1" x14ac:dyDescent="0.3">
      <c r="A43" s="11">
        <v>46260</v>
      </c>
      <c r="B43" s="12" t="s">
        <v>89</v>
      </c>
      <c r="C43" s="12" t="s">
        <v>101</v>
      </c>
      <c r="D43" s="13">
        <v>5870.7</v>
      </c>
      <c r="E43" s="11">
        <v>46259</v>
      </c>
      <c r="F43" s="14">
        <v>5750</v>
      </c>
      <c r="G43" s="15">
        <f t="shared" si="0"/>
        <v>120.69999999999982</v>
      </c>
      <c r="H43" s="16" t="s">
        <v>90</v>
      </c>
      <c r="I43" s="17" t="s">
        <v>10</v>
      </c>
    </row>
    <row r="44" spans="1:10" s="29" customFormat="1" x14ac:dyDescent="0.3">
      <c r="A44" s="4">
        <v>46260</v>
      </c>
      <c r="B44" s="5" t="s">
        <v>91</v>
      </c>
      <c r="C44" s="5" t="s">
        <v>101</v>
      </c>
      <c r="D44" s="6">
        <v>5972.8</v>
      </c>
      <c r="E44" s="4">
        <v>46259</v>
      </c>
      <c r="F44" s="7">
        <v>5850</v>
      </c>
      <c r="G44" s="8">
        <f t="shared" si="0"/>
        <v>122.80000000000018</v>
      </c>
      <c r="H44" s="9" t="s">
        <v>92</v>
      </c>
      <c r="I44" s="10" t="s">
        <v>13</v>
      </c>
    </row>
    <row r="45" spans="1:10" s="28" customFormat="1" x14ac:dyDescent="0.3">
      <c r="A45" s="11">
        <v>46266</v>
      </c>
      <c r="B45" s="12" t="s">
        <v>93</v>
      </c>
      <c r="C45" s="12" t="s">
        <v>101</v>
      </c>
      <c r="D45" s="13">
        <v>1189.48</v>
      </c>
      <c r="E45" s="11">
        <v>46265</v>
      </c>
      <c r="F45" s="14">
        <v>1165</v>
      </c>
      <c r="G45" s="15">
        <f t="shared" si="0"/>
        <v>24.480000000000018</v>
      </c>
      <c r="H45" s="16" t="s">
        <v>94</v>
      </c>
      <c r="I45" s="17" t="s">
        <v>16</v>
      </c>
    </row>
    <row r="46" spans="1:10" s="28" customFormat="1" x14ac:dyDescent="0.3">
      <c r="A46" s="11">
        <v>46266</v>
      </c>
      <c r="B46" s="12" t="s">
        <v>95</v>
      </c>
      <c r="C46" s="12" t="s">
        <v>101</v>
      </c>
      <c r="D46" s="13">
        <v>1118.8399999999999</v>
      </c>
      <c r="E46" s="11">
        <v>46264</v>
      </c>
      <c r="F46" s="14">
        <v>1095.83</v>
      </c>
      <c r="G46" s="15">
        <f t="shared" si="0"/>
        <v>23.009999999999991</v>
      </c>
      <c r="H46" s="16" t="s">
        <v>96</v>
      </c>
      <c r="I46" s="17" t="s">
        <v>13</v>
      </c>
    </row>
    <row r="47" spans="1:10" s="28" customFormat="1" x14ac:dyDescent="0.3">
      <c r="A47" s="11">
        <v>46276</v>
      </c>
      <c r="B47" s="12" t="s">
        <v>97</v>
      </c>
      <c r="C47" s="12" t="s">
        <v>101</v>
      </c>
      <c r="D47" s="13">
        <v>1079.8</v>
      </c>
      <c r="E47" s="11">
        <v>46270</v>
      </c>
      <c r="F47" s="14">
        <v>1055.55</v>
      </c>
      <c r="G47" s="15">
        <f t="shared" si="0"/>
        <v>24.25</v>
      </c>
      <c r="H47" s="16" t="s">
        <v>98</v>
      </c>
      <c r="I47" s="17" t="s">
        <v>13</v>
      </c>
    </row>
    <row r="48" spans="1:10" x14ac:dyDescent="0.3">
      <c r="A48" s="26" t="s">
        <v>71</v>
      </c>
      <c r="B48" s="27"/>
      <c r="C48" s="30"/>
      <c r="D48" s="25">
        <f>SUM(D4:D47)</f>
        <v>87480.840000000011</v>
      </c>
      <c r="E48" s="31" t="s">
        <v>72</v>
      </c>
      <c r="F48" s="32"/>
      <c r="G48" s="25">
        <f>SUM(G4:G47)</f>
        <v>1801.9600000000003</v>
      </c>
    </row>
  </sheetData>
  <mergeCells count="3">
    <mergeCell ref="A1:I2"/>
    <mergeCell ref="A48:B48"/>
    <mergeCell ref="E48:F4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Martins</dc:creator>
  <cp:lastModifiedBy>Ariane Martins</cp:lastModifiedBy>
  <dcterms:created xsi:type="dcterms:W3CDTF">2026-09-14T13:42:52Z</dcterms:created>
  <dcterms:modified xsi:type="dcterms:W3CDTF">2026-09-14T13:53:51Z</dcterms:modified>
</cp:coreProperties>
</file>